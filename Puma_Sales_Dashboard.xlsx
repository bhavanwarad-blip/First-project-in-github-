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firstSheet="1" activeTab="3"/>
  </bookViews>
  <sheets>
    <sheet name="Instructions" sheetId="1" r:id="rId1"/>
    <sheet name="Sales Data" sheetId="2" r:id="rId2"/>
    <sheet name="Summary Data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<sst xmlns="http://schemas.openxmlformats.org/spreadsheetml/2006/main" count="359" uniqueCount="50">
  <si>
    <t>PUMA SALES DASHBOARD - INSTRUCTIONS</t>
  </si>
  <si>
    <t>1. Open the Dashboard sheet to view the sales dashboard.</t>
  </si>
  <si>
    <t>2. KPI cards show Total Sales, Total Profit, Total Orders and Units Sold.</t>
  </si>
  <si>
    <t>3. Use the dropdown cells under Slicer-Style Filters.</t>
  </si>
  <si>
    <t>4. Sales Data contains 100 sample Puma orders.</t>
  </si>
  <si>
    <t>5. Replace sample data with your own data using the same columns.</t>
  </si>
  <si>
    <t>6. For true Excel slicers, create a PivotTable and use Insert &gt; Slicer.</t>
  </si>
  <si>
    <t>Order ID</t>
  </si>
  <si>
    <t>Date</t>
  </si>
  <si>
    <t>Product</t>
  </si>
  <si>
    <t>Category</t>
  </si>
  <si>
    <t>Region</t>
  </si>
  <si>
    <t>Units</t>
  </si>
  <si>
    <t>Unit Price</t>
  </si>
  <si>
    <t>Discount</t>
  </si>
  <si>
    <t>Sales</t>
  </si>
  <si>
    <t>Profit</t>
  </si>
  <si>
    <t>Track Pants</t>
  </si>
  <si>
    <t>Apparel</t>
  </si>
  <si>
    <t>Mumbai</t>
  </si>
  <si>
    <t>T-Shirts</t>
  </si>
  <si>
    <t>Hyderabad</t>
  </si>
  <si>
    <t>Running Shoes</t>
  </si>
  <si>
    <t>Footwear</t>
  </si>
  <si>
    <t>Bangalore</t>
  </si>
  <si>
    <t>Delhi</t>
  </si>
  <si>
    <t>Hoodies</t>
  </si>
  <si>
    <t>Sneakers</t>
  </si>
  <si>
    <t>Chennai</t>
  </si>
  <si>
    <t>Backpacks</t>
  </si>
  <si>
    <t>Accessories</t>
  </si>
  <si>
    <t>Month</t>
  </si>
  <si>
    <t>Jan</t>
  </si>
  <si>
    <t>Feb</t>
  </si>
  <si>
    <t>Mar</t>
  </si>
  <si>
    <t>Apr</t>
  </si>
  <si>
    <t>May</t>
  </si>
  <si>
    <t>Jun</t>
  </si>
  <si>
    <t>🏆 PUMA SALES PERFORMANCE DASHBOARD</t>
  </si>
  <si>
    <t>TOTAL SALES</t>
  </si>
  <si>
    <t>TOTAL PROFIT</t>
  </si>
  <si>
    <t>TOTAL ORDERS</t>
  </si>
  <si>
    <t>UNITS SOLD</t>
  </si>
  <si>
    <t>SLICER-STYLE FILTERS</t>
  </si>
  <si>
    <t>All</t>
  </si>
  <si>
    <t>HOW TO USE</t>
  </si>
  <si>
    <t>These dropdowns act as slicer-style filters. For interactive charts, use PivotTable + Insert Slicer.</t>
  </si>
  <si>
    <t>1. View KPIs and charts on this sheet.</t>
  </si>
  <si>
    <t>2. Use the dropdown filters on the right.</t>
  </si>
  <si>
    <t>3. Edit Sales Data to use your own Puma data.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</si>
</sst>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₹&quot;#,##0"/>
    <numFmt numFmtId="179" formatCode="dd\-mmm\-yyyy"/>
  </numFmts>
  <fonts count="27">
    <font>
      <sz val="11"/>
      <color theme="1"/>
      <name val="Calibri"/>
      <charset val="134"/>
      <scheme val="minor"/>
    </font>
    <font>
      <b/>
      <sz val="22"/>
      <color rgb="FFFFFFF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6"/>
      <name val="Calibri"/>
      <charset val="134"/>
      <scheme val="minor"/>
    </font>
    <font>
      <b/>
      <sz val="11"/>
      <name val="Calibri"/>
      <charset val="134"/>
      <scheme val="minor"/>
    </font>
    <font>
      <i/>
      <sz val="11"/>
      <color rgb="FF666666"/>
      <name val="Calibri"/>
      <charset val="134"/>
      <scheme val="minor"/>
    </font>
    <font>
      <b/>
      <sz val="1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178" fontId="3" fillId="4" borderId="0" xfId="0" applyNumberFormat="1" applyFont="1" applyFill="1" applyAlignment="1">
      <alignment horizontal="center"/>
    </xf>
    <xf numFmtId="3" fontId="3" fillId="4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5" borderId="0" xfId="0" applyFont="1" applyFill="1"/>
    <xf numFmtId="0" fontId="0" fillId="6" borderId="0" xfId="0" applyFill="1"/>
    <xf numFmtId="0" fontId="2" fillId="3" borderId="0" xfId="0" applyFont="1" applyFill="1"/>
    <xf numFmtId="0" fontId="5" fillId="0" borderId="0" xfId="0" applyFont="1" applyAlignment="1">
      <alignment vertical="top" wrapText="1"/>
    </xf>
    <xf numFmtId="178" fontId="0" fillId="0" borderId="0" xfId="0" applyNumberFormat="1"/>
    <xf numFmtId="179" fontId="0" fillId="0" borderId="0" xfId="0" applyNumberFormat="1"/>
    <xf numFmtId="9" fontId="0" fillId="0" borderId="0" xfId="0" applyNumberFormat="1"/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Monthly Puma Sales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 Data'!$B$1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'Summary Data'!$A$2:$A$7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'Summary Data'!$B$2:$B$7</c:f>
              <c:numCache>
                <c:formatCode>"₹"#,##0</c:formatCode>
                <c:ptCount val="6"/>
                <c:pt idx="0">
                  <c:v>350015</c:v>
                </c:pt>
                <c:pt idx="1">
                  <c:v>292325</c:v>
                </c:pt>
                <c:pt idx="2">
                  <c:v>216300</c:v>
                </c:pt>
                <c:pt idx="3">
                  <c:v>175115</c:v>
                </c:pt>
                <c:pt idx="4">
                  <c:v>348420</c:v>
                </c:pt>
                <c:pt idx="5">
                  <c:v>219250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Sales (₹)</a:t>
                </a:r>
              </a:p>
            </c:rich>
          </c:tx>
          <c:layout/>
          <c:overlay val="0"/>
        </c:title>
        <c:numFmt formatCode="&quot;₹&quot;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9d0ced-92e2-4d46-a4e1-afe1bc7b5c1e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Sales by Product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Data'!$E$1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'Summary Data'!$D$2:$D$7</c:f>
              <c:strCache>
                <c:ptCount val="6"/>
                <c:pt idx="0">
                  <c:v>Running Shoes</c:v>
                </c:pt>
                <c:pt idx="1">
                  <c:v>Track Pants</c:v>
                </c:pt>
                <c:pt idx="2">
                  <c:v>Hoodies</c:v>
                </c:pt>
                <c:pt idx="3">
                  <c:v>T-Shirts</c:v>
                </c:pt>
                <c:pt idx="4">
                  <c:v>Sneakers</c:v>
                </c:pt>
                <c:pt idx="5">
                  <c:v>Backpacks</c:v>
                </c:pt>
              </c:strCache>
            </c:strRef>
          </c:cat>
          <c:val>
            <c:numRef>
              <c:f>'Summary Data'!$E$2:$E$7</c:f>
              <c:numCache>
                <c:formatCode>"₹"#,##0</c:formatCode>
                <c:ptCount val="6"/>
                <c:pt idx="0">
                  <c:v>675900</c:v>
                </c:pt>
                <c:pt idx="1">
                  <c:v>289500</c:v>
                </c:pt>
                <c:pt idx="2">
                  <c:v>254560</c:v>
                </c:pt>
                <c:pt idx="3">
                  <c:v>178020</c:v>
                </c:pt>
                <c:pt idx="4">
                  <c:v>132825</c:v>
                </c:pt>
                <c:pt idx="5">
                  <c:v>70620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Sales (₹)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Product</a:t>
                </a:r>
              </a:p>
            </c:rich>
          </c:tx>
          <c:layout/>
          <c:overlay val="0"/>
        </c:title>
        <c:numFmt formatCode="&quot;₹&quot;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a63027-de54-4ab5-bbf1-1833030cf598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Sales by Region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'Summary Data'!$H$1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Pt>
            <c:idx val="4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'Summary Data'!$G$2:$G$6</c:f>
              <c:strCache>
                <c:ptCount val="5"/>
                <c:pt idx="0">
                  <c:v>Chennai</c:v>
                </c:pt>
                <c:pt idx="1">
                  <c:v>Mumbai</c:v>
                </c:pt>
                <c:pt idx="2">
                  <c:v>Bangalore</c:v>
                </c:pt>
                <c:pt idx="3">
                  <c:v>Delhi</c:v>
                </c:pt>
                <c:pt idx="4">
                  <c:v>Hyderabad</c:v>
                </c:pt>
              </c:strCache>
            </c:strRef>
          </c:cat>
          <c:val>
            <c:numRef>
              <c:f>'Summary Data'!$H$2:$H$6</c:f>
              <c:numCache>
                <c:formatCode>"₹"#,##0</c:formatCode>
                <c:ptCount val="5"/>
                <c:pt idx="0">
                  <c:v>354520</c:v>
                </c:pt>
                <c:pt idx="1">
                  <c:v>352650</c:v>
                </c:pt>
                <c:pt idx="2">
                  <c:v>322400</c:v>
                </c:pt>
                <c:pt idx="3">
                  <c:v>290615</c:v>
                </c:pt>
                <c:pt idx="4">
                  <c:v>281240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598b61-01e9-4c23-9c65-0f8b798f33e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7</xdr:row>
      <xdr:rowOff>0</xdr:rowOff>
    </xdr:from>
    <xdr:ext cx="4320000" cy="2437450"/>
    <xdr:graphicFrame>
      <xdr:nvGraphicFramePr>
        <xdr:cNvPr id="2" name="Chart 1"/>
        <xdr:cNvGraphicFramePr/>
      </xdr:nvGraphicFramePr>
      <xdr:xfrm>
        <a:off x="0" y="1371600"/>
        <a:ext cx="4319905" cy="2437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7</xdr:row>
      <xdr:rowOff>0</xdr:rowOff>
    </xdr:from>
    <xdr:ext cx="4320000" cy="2784750"/>
    <xdr:graphicFrame>
      <xdr:nvGraphicFramePr>
        <xdr:cNvPr id="3" name="Chart 2"/>
        <xdr:cNvGraphicFramePr/>
      </xdr:nvGraphicFramePr>
      <xdr:xfrm>
        <a:off x="3771900" y="1371600"/>
        <a:ext cx="4319905" cy="2784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23</xdr:row>
      <xdr:rowOff>0</xdr:rowOff>
    </xdr:from>
    <xdr:ext cx="3960000" cy="3485700"/>
    <xdr:graphicFrame>
      <xdr:nvGraphicFramePr>
        <xdr:cNvPr id="4" name="Chart 3"/>
        <xdr:cNvGraphicFramePr/>
      </xdr:nvGraphicFramePr>
      <xdr:xfrm>
        <a:off x="0" y="4318000"/>
        <a:ext cx="3959860" cy="3485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PumaSalesData" displayName="PumaSalesData" ref="A1:J101">
  <autoFilter xmlns:etc="http://www.wps.cn/officeDocument/2017/etCustomData" ref="A1:J101" etc:filterBottomFollowUsedRange="0"/>
  <tableColumns count="10">
    <tableColumn id="1" name="Order ID"/>
    <tableColumn id="2" name="Date"/>
    <tableColumn id="3" name="Product"/>
    <tableColumn id="4" name="Category"/>
    <tableColumn id="5" name="Region"/>
    <tableColumn id="6" name="Units"/>
    <tableColumn id="7" name="Unit Price"/>
    <tableColumn id="8" name="Discount"/>
    <tableColumn id="9" name="Sales"/>
    <tableColumn id="10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4" sqref="A4"/>
    </sheetView>
  </sheetViews>
  <sheetFormatPr defaultColWidth="9" defaultRowHeight="14.5" outlineLevelRow="7"/>
  <cols>
    <col min="1" max="1" width="105" customWidth="1"/>
  </cols>
  <sheetData>
    <row r="1" ht="23.5" spans="1:1">
      <c r="A1" s="13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/>
  <cols>
    <col min="1" max="1" width="12" customWidth="1"/>
    <col min="2" max="2" width="14" customWidth="1"/>
    <col min="3" max="3" width="20" customWidth="1"/>
    <col min="4" max="5" width="15" customWidth="1"/>
    <col min="6" max="6" width="10" customWidth="1"/>
    <col min="7" max="7" width="14" customWidth="1"/>
    <col min="8" max="8" width="12" customWidth="1"/>
    <col min="9" max="10" width="15" customWidth="1"/>
  </cols>
  <sheetData>
    <row r="1" spans="1:10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>
      <c r="A2">
        <v>1001</v>
      </c>
      <c r="B2" s="11">
        <v>46023</v>
      </c>
      <c r="C2" t="s">
        <v>17</v>
      </c>
      <c r="D2" t="s">
        <v>18</v>
      </c>
      <c r="E2" t="s">
        <v>19</v>
      </c>
      <c r="F2">
        <v>8</v>
      </c>
      <c r="G2" s="10">
        <v>2500</v>
      </c>
      <c r="H2" s="12">
        <v>0.05</v>
      </c>
      <c r="I2" s="10">
        <v>19000</v>
      </c>
      <c r="J2" s="10">
        <v>7247.82601016715</v>
      </c>
    </row>
    <row r="3" spans="1:10">
      <c r="A3">
        <v>1002</v>
      </c>
      <c r="B3" s="11">
        <v>46024.8181818182</v>
      </c>
      <c r="C3" t="s">
        <v>20</v>
      </c>
      <c r="D3" t="s">
        <v>18</v>
      </c>
      <c r="E3" t="s">
        <v>21</v>
      </c>
      <c r="F3">
        <v>7</v>
      </c>
      <c r="G3" s="10">
        <v>1800</v>
      </c>
      <c r="H3" s="12">
        <v>0.15</v>
      </c>
      <c r="I3" s="10">
        <v>10710</v>
      </c>
      <c r="J3" s="10">
        <v>3834.95445760225</v>
      </c>
    </row>
    <row r="4" spans="1:10">
      <c r="A4">
        <v>1003</v>
      </c>
      <c r="B4" s="11">
        <v>46026.6363636364</v>
      </c>
      <c r="C4" t="s">
        <v>17</v>
      </c>
      <c r="D4" t="s">
        <v>18</v>
      </c>
      <c r="E4" t="s">
        <v>19</v>
      </c>
      <c r="F4">
        <v>8</v>
      </c>
      <c r="G4" s="10">
        <v>2500</v>
      </c>
      <c r="H4" s="12">
        <v>0.15</v>
      </c>
      <c r="I4" s="10">
        <v>17000</v>
      </c>
      <c r="J4" s="10">
        <v>4819.48918851487</v>
      </c>
    </row>
    <row r="5" spans="1:10">
      <c r="A5">
        <v>1004</v>
      </c>
      <c r="B5" s="11">
        <v>46028.4545454545</v>
      </c>
      <c r="C5" t="s">
        <v>17</v>
      </c>
      <c r="D5" t="s">
        <v>18</v>
      </c>
      <c r="E5" t="s">
        <v>21</v>
      </c>
      <c r="F5">
        <v>6</v>
      </c>
      <c r="G5" s="10">
        <v>2500</v>
      </c>
      <c r="H5" s="12">
        <v>0.1</v>
      </c>
      <c r="I5" s="10">
        <v>13500</v>
      </c>
      <c r="J5" s="10">
        <v>4197.2882997403</v>
      </c>
    </row>
    <row r="6" spans="1:10">
      <c r="A6">
        <v>1005</v>
      </c>
      <c r="B6" s="11">
        <v>46030.2727272727</v>
      </c>
      <c r="C6" t="s">
        <v>22</v>
      </c>
      <c r="D6" t="s">
        <v>23</v>
      </c>
      <c r="E6" t="s">
        <v>24</v>
      </c>
      <c r="F6">
        <v>10</v>
      </c>
      <c r="G6" s="10">
        <v>4500</v>
      </c>
      <c r="H6" s="12">
        <v>0.1</v>
      </c>
      <c r="I6" s="10">
        <v>40500</v>
      </c>
      <c r="J6" s="10">
        <v>11388.6515114378</v>
      </c>
    </row>
    <row r="7" spans="1:10">
      <c r="A7">
        <v>1006</v>
      </c>
      <c r="B7" s="11">
        <v>46032.0909090909</v>
      </c>
      <c r="C7" t="s">
        <v>22</v>
      </c>
      <c r="D7" t="s">
        <v>23</v>
      </c>
      <c r="E7" t="s">
        <v>25</v>
      </c>
      <c r="F7">
        <v>10</v>
      </c>
      <c r="G7" s="10">
        <v>4500</v>
      </c>
      <c r="H7" s="12">
        <v>0.15</v>
      </c>
      <c r="I7" s="10">
        <v>38250</v>
      </c>
      <c r="J7" s="10">
        <v>13675.5950723713</v>
      </c>
    </row>
    <row r="8" spans="1:10">
      <c r="A8">
        <v>1007</v>
      </c>
      <c r="B8" s="11">
        <v>46033.9090909091</v>
      </c>
      <c r="C8" t="s">
        <v>17</v>
      </c>
      <c r="D8" t="s">
        <v>18</v>
      </c>
      <c r="E8" t="s">
        <v>25</v>
      </c>
      <c r="F8">
        <v>7</v>
      </c>
      <c r="G8" s="10">
        <v>2500</v>
      </c>
      <c r="H8" s="12">
        <v>0.05</v>
      </c>
      <c r="I8" s="10">
        <v>16625</v>
      </c>
      <c r="J8" s="10">
        <v>4786.28047894989</v>
      </c>
    </row>
    <row r="9" spans="1:10">
      <c r="A9">
        <v>1008</v>
      </c>
      <c r="B9" s="11">
        <v>46035.7272727273</v>
      </c>
      <c r="C9" t="s">
        <v>26</v>
      </c>
      <c r="D9" t="s">
        <v>18</v>
      </c>
      <c r="E9" t="s">
        <v>24</v>
      </c>
      <c r="F9">
        <v>9</v>
      </c>
      <c r="G9" s="10">
        <v>3200</v>
      </c>
      <c r="H9" s="12">
        <v>0.15</v>
      </c>
      <c r="I9" s="10">
        <v>24480</v>
      </c>
      <c r="J9" s="10">
        <v>6909.6034623629</v>
      </c>
    </row>
    <row r="10" spans="1:10">
      <c r="A10">
        <v>1009</v>
      </c>
      <c r="B10" s="11">
        <v>46037.5454545454</v>
      </c>
      <c r="C10" t="s">
        <v>17</v>
      </c>
      <c r="D10" t="s">
        <v>18</v>
      </c>
      <c r="E10" t="s">
        <v>21</v>
      </c>
      <c r="F10">
        <v>2</v>
      </c>
      <c r="G10" s="10">
        <v>2500</v>
      </c>
      <c r="H10" s="12">
        <v>0.1</v>
      </c>
      <c r="I10" s="10">
        <v>4500</v>
      </c>
      <c r="J10" s="10">
        <v>1493.02953341763</v>
      </c>
    </row>
    <row r="11" spans="1:10">
      <c r="A11">
        <v>1010</v>
      </c>
      <c r="B11" s="11">
        <v>46039.3636363636</v>
      </c>
      <c r="C11" t="s">
        <v>27</v>
      </c>
      <c r="D11" t="s">
        <v>23</v>
      </c>
      <c r="E11" t="s">
        <v>28</v>
      </c>
      <c r="F11">
        <v>4</v>
      </c>
      <c r="G11" s="10">
        <v>3500</v>
      </c>
      <c r="H11" s="12">
        <v>0.15</v>
      </c>
      <c r="I11" s="10">
        <v>11900</v>
      </c>
      <c r="J11" s="10">
        <v>4714.2420985839</v>
      </c>
    </row>
    <row r="12" spans="1:10">
      <c r="A12">
        <v>1011</v>
      </c>
      <c r="B12" s="11">
        <v>46041.1818181818</v>
      </c>
      <c r="C12" t="s">
        <v>26</v>
      </c>
      <c r="D12" t="s">
        <v>18</v>
      </c>
      <c r="E12" t="s">
        <v>24</v>
      </c>
      <c r="F12">
        <v>8</v>
      </c>
      <c r="G12" s="10">
        <v>3200</v>
      </c>
      <c r="H12" s="12">
        <v>0.15</v>
      </c>
      <c r="I12" s="10">
        <v>21760</v>
      </c>
      <c r="J12" s="10">
        <v>6734.11052625595</v>
      </c>
    </row>
    <row r="13" spans="1:10">
      <c r="A13">
        <v>1012</v>
      </c>
      <c r="B13" s="11">
        <v>46043</v>
      </c>
      <c r="C13" t="s">
        <v>17</v>
      </c>
      <c r="D13" t="s">
        <v>18</v>
      </c>
      <c r="E13" t="s">
        <v>19</v>
      </c>
      <c r="F13">
        <v>2</v>
      </c>
      <c r="G13" s="10">
        <v>2500</v>
      </c>
      <c r="H13" s="12">
        <v>0.1</v>
      </c>
      <c r="I13" s="10">
        <v>4500</v>
      </c>
      <c r="J13" s="10">
        <v>1585.2442439858</v>
      </c>
    </row>
    <row r="14" spans="1:10">
      <c r="A14">
        <v>1013</v>
      </c>
      <c r="B14" s="11">
        <v>46044.8181818182</v>
      </c>
      <c r="C14" t="s">
        <v>17</v>
      </c>
      <c r="D14" t="s">
        <v>18</v>
      </c>
      <c r="E14" t="s">
        <v>19</v>
      </c>
      <c r="F14">
        <v>6</v>
      </c>
      <c r="G14" s="10">
        <v>2500</v>
      </c>
      <c r="H14" s="12">
        <v>0.05</v>
      </c>
      <c r="I14" s="10">
        <v>14250</v>
      </c>
      <c r="J14" s="10">
        <v>6338.81876075964</v>
      </c>
    </row>
    <row r="15" spans="1:10">
      <c r="A15">
        <v>1014</v>
      </c>
      <c r="B15" s="11">
        <v>46046.6363636364</v>
      </c>
      <c r="C15" t="s">
        <v>17</v>
      </c>
      <c r="D15" t="s">
        <v>18</v>
      </c>
      <c r="E15" t="s">
        <v>28</v>
      </c>
      <c r="F15">
        <v>2</v>
      </c>
      <c r="G15" s="10">
        <v>2500</v>
      </c>
      <c r="H15" s="12">
        <v>0.1</v>
      </c>
      <c r="I15" s="10">
        <v>4500</v>
      </c>
      <c r="J15" s="10">
        <v>1944.54292307715</v>
      </c>
    </row>
    <row r="16" spans="1:10">
      <c r="A16">
        <v>1015</v>
      </c>
      <c r="B16" s="11">
        <v>46048.4545454545</v>
      </c>
      <c r="C16" t="s">
        <v>22</v>
      </c>
      <c r="D16" t="s">
        <v>23</v>
      </c>
      <c r="E16" t="s">
        <v>19</v>
      </c>
      <c r="F16">
        <v>8</v>
      </c>
      <c r="G16" s="10">
        <v>4500</v>
      </c>
      <c r="H16" s="12">
        <v>0.05</v>
      </c>
      <c r="I16" s="10">
        <v>34200</v>
      </c>
      <c r="J16" s="10">
        <v>11835.7697622546</v>
      </c>
    </row>
    <row r="17" spans="1:10">
      <c r="A17">
        <v>1016</v>
      </c>
      <c r="B17" s="11">
        <v>46050.2727272727</v>
      </c>
      <c r="C17" t="s">
        <v>26</v>
      </c>
      <c r="D17" t="s">
        <v>18</v>
      </c>
      <c r="E17" t="s">
        <v>28</v>
      </c>
      <c r="F17">
        <v>8</v>
      </c>
      <c r="G17" s="10">
        <v>3200</v>
      </c>
      <c r="H17" s="12">
        <v>0.1</v>
      </c>
      <c r="I17" s="10">
        <v>23040</v>
      </c>
      <c r="J17" s="10">
        <v>10231.9119874922</v>
      </c>
    </row>
    <row r="18" spans="1:10">
      <c r="A18">
        <v>1017</v>
      </c>
      <c r="B18" s="11">
        <v>46052.0909090909</v>
      </c>
      <c r="C18" t="s">
        <v>17</v>
      </c>
      <c r="D18" t="s">
        <v>18</v>
      </c>
      <c r="E18" t="s">
        <v>24</v>
      </c>
      <c r="F18">
        <v>9</v>
      </c>
      <c r="G18" s="10">
        <v>2500</v>
      </c>
      <c r="H18" s="12">
        <v>0.05</v>
      </c>
      <c r="I18" s="10">
        <v>21375</v>
      </c>
      <c r="J18" s="10">
        <v>8899.98327881499</v>
      </c>
    </row>
    <row r="19" spans="1:10">
      <c r="A19">
        <v>1018</v>
      </c>
      <c r="B19" s="11">
        <v>46053.9090909091</v>
      </c>
      <c r="C19" t="s">
        <v>22</v>
      </c>
      <c r="D19" t="s">
        <v>23</v>
      </c>
      <c r="E19" t="s">
        <v>28</v>
      </c>
      <c r="F19">
        <v>7</v>
      </c>
      <c r="G19" s="10">
        <v>4500</v>
      </c>
      <c r="H19" s="12">
        <v>0.05</v>
      </c>
      <c r="I19" s="10">
        <v>29925</v>
      </c>
      <c r="J19" s="10">
        <v>12307.6022026044</v>
      </c>
    </row>
    <row r="20" spans="1:10">
      <c r="A20">
        <v>1019</v>
      </c>
      <c r="B20" s="11">
        <v>46055.7272727273</v>
      </c>
      <c r="C20" t="s">
        <v>20</v>
      </c>
      <c r="D20" t="s">
        <v>18</v>
      </c>
      <c r="E20" t="s">
        <v>25</v>
      </c>
      <c r="F20">
        <v>3</v>
      </c>
      <c r="G20" s="10">
        <v>1800</v>
      </c>
      <c r="H20" s="12">
        <v>0.05</v>
      </c>
      <c r="I20" s="10">
        <v>5130</v>
      </c>
      <c r="J20" s="10">
        <v>2056.7613169921</v>
      </c>
    </row>
    <row r="21" spans="1:10">
      <c r="A21">
        <v>1020</v>
      </c>
      <c r="B21" s="11">
        <v>46057.5454545454</v>
      </c>
      <c r="C21" t="s">
        <v>22</v>
      </c>
      <c r="D21" t="s">
        <v>23</v>
      </c>
      <c r="E21" t="s">
        <v>24</v>
      </c>
      <c r="F21">
        <v>5</v>
      </c>
      <c r="G21" s="10">
        <v>4500</v>
      </c>
      <c r="H21" s="12">
        <v>0.1</v>
      </c>
      <c r="I21" s="10">
        <v>20250</v>
      </c>
      <c r="J21" s="10">
        <v>6904.01827051366</v>
      </c>
    </row>
    <row r="22" spans="1:10">
      <c r="A22">
        <v>1021</v>
      </c>
      <c r="B22" s="11">
        <v>46059.3636363636</v>
      </c>
      <c r="C22" t="s">
        <v>17</v>
      </c>
      <c r="D22" t="s">
        <v>18</v>
      </c>
      <c r="E22" t="s">
        <v>19</v>
      </c>
      <c r="F22">
        <v>7</v>
      </c>
      <c r="G22" s="10">
        <v>2500</v>
      </c>
      <c r="H22" s="12">
        <v>0.05</v>
      </c>
      <c r="I22" s="10">
        <v>16625</v>
      </c>
      <c r="J22" s="10">
        <v>6416.59633094639</v>
      </c>
    </row>
    <row r="23" spans="1:10">
      <c r="A23">
        <v>1022</v>
      </c>
      <c r="B23" s="11">
        <v>46061.1818181818</v>
      </c>
      <c r="C23" t="s">
        <v>22</v>
      </c>
      <c r="D23" t="s">
        <v>23</v>
      </c>
      <c r="E23" t="s">
        <v>21</v>
      </c>
      <c r="F23">
        <v>7</v>
      </c>
      <c r="G23" s="10">
        <v>4500</v>
      </c>
      <c r="H23" s="12">
        <v>0.15</v>
      </c>
      <c r="I23" s="10">
        <v>26775</v>
      </c>
      <c r="J23" s="10">
        <v>10541.3981718116</v>
      </c>
    </row>
    <row r="24" spans="1:10">
      <c r="A24">
        <v>1023</v>
      </c>
      <c r="B24" s="11">
        <v>46063</v>
      </c>
      <c r="C24" t="s">
        <v>20</v>
      </c>
      <c r="D24" t="s">
        <v>18</v>
      </c>
      <c r="E24" t="s">
        <v>24</v>
      </c>
      <c r="F24">
        <v>8</v>
      </c>
      <c r="G24" s="10">
        <v>1800</v>
      </c>
      <c r="H24" s="12">
        <v>0.1</v>
      </c>
      <c r="I24" s="10">
        <v>12960</v>
      </c>
      <c r="J24" s="10">
        <v>5583.50711444416</v>
      </c>
    </row>
    <row r="25" spans="1:10">
      <c r="A25">
        <v>1024</v>
      </c>
      <c r="B25" s="11">
        <v>46064.8181818182</v>
      </c>
      <c r="C25" t="s">
        <v>20</v>
      </c>
      <c r="D25" t="s">
        <v>18</v>
      </c>
      <c r="E25" t="s">
        <v>24</v>
      </c>
      <c r="F25">
        <v>5</v>
      </c>
      <c r="G25" s="10">
        <v>1800</v>
      </c>
      <c r="H25" s="12">
        <v>0.15</v>
      </c>
      <c r="I25" s="10">
        <v>7650</v>
      </c>
      <c r="J25" s="10">
        <v>3069.57484578351</v>
      </c>
    </row>
    <row r="26" spans="1:10">
      <c r="A26">
        <v>1025</v>
      </c>
      <c r="B26" s="11">
        <v>46066.6363636364</v>
      </c>
      <c r="C26" t="s">
        <v>26</v>
      </c>
      <c r="D26" t="s">
        <v>18</v>
      </c>
      <c r="E26" t="s">
        <v>25</v>
      </c>
      <c r="F26">
        <v>10</v>
      </c>
      <c r="G26" s="10">
        <v>3200</v>
      </c>
      <c r="H26" s="12">
        <v>0.15</v>
      </c>
      <c r="I26" s="10">
        <v>27200</v>
      </c>
      <c r="J26" s="10">
        <v>11180.9522401099</v>
      </c>
    </row>
    <row r="27" spans="1:10">
      <c r="A27">
        <v>1026</v>
      </c>
      <c r="B27" s="11">
        <v>46068.4545454545</v>
      </c>
      <c r="C27" t="s">
        <v>22</v>
      </c>
      <c r="D27" t="s">
        <v>23</v>
      </c>
      <c r="E27" t="s">
        <v>25</v>
      </c>
      <c r="F27">
        <v>10</v>
      </c>
      <c r="G27" s="10">
        <v>4500</v>
      </c>
      <c r="H27" s="12">
        <v>0.1</v>
      </c>
      <c r="I27" s="10">
        <v>40500</v>
      </c>
      <c r="J27" s="10">
        <v>14364.8318153458</v>
      </c>
    </row>
    <row r="28" spans="1:10">
      <c r="A28">
        <v>1027</v>
      </c>
      <c r="B28" s="11">
        <v>46070.2727272727</v>
      </c>
      <c r="C28" t="s">
        <v>22</v>
      </c>
      <c r="D28" t="s">
        <v>23</v>
      </c>
      <c r="E28" t="s">
        <v>21</v>
      </c>
      <c r="F28">
        <v>4</v>
      </c>
      <c r="G28" s="10">
        <v>4500</v>
      </c>
      <c r="H28" s="12">
        <v>0.05</v>
      </c>
      <c r="I28" s="10">
        <v>17100</v>
      </c>
      <c r="J28" s="10">
        <v>6266.41499921579</v>
      </c>
    </row>
    <row r="29" spans="1:10">
      <c r="A29">
        <v>1028</v>
      </c>
      <c r="B29" s="11">
        <v>46072.0909090909</v>
      </c>
      <c r="C29" t="s">
        <v>26</v>
      </c>
      <c r="D29" t="s">
        <v>18</v>
      </c>
      <c r="E29" t="s">
        <v>25</v>
      </c>
      <c r="F29">
        <v>4</v>
      </c>
      <c r="G29" s="10">
        <v>3200</v>
      </c>
      <c r="H29" s="12">
        <v>0.05</v>
      </c>
      <c r="I29" s="10">
        <v>12160</v>
      </c>
      <c r="J29" s="10">
        <v>3563.93286959808</v>
      </c>
    </row>
    <row r="30" spans="1:10">
      <c r="A30">
        <v>1029</v>
      </c>
      <c r="B30" s="11">
        <v>46073.9090909091</v>
      </c>
      <c r="C30" t="s">
        <v>20</v>
      </c>
      <c r="D30" t="s">
        <v>18</v>
      </c>
      <c r="E30" t="s">
        <v>24</v>
      </c>
      <c r="F30">
        <v>6</v>
      </c>
      <c r="G30" s="10">
        <v>1800</v>
      </c>
      <c r="H30" s="12">
        <v>0.1</v>
      </c>
      <c r="I30" s="10">
        <v>9720</v>
      </c>
      <c r="J30" s="10">
        <v>3753.28262913628</v>
      </c>
    </row>
    <row r="31" spans="1:10">
      <c r="A31">
        <v>1030</v>
      </c>
      <c r="B31" s="11">
        <v>46075.7272727273</v>
      </c>
      <c r="C31" t="s">
        <v>26</v>
      </c>
      <c r="D31" t="s">
        <v>18</v>
      </c>
      <c r="E31" t="s">
        <v>19</v>
      </c>
      <c r="F31">
        <v>6</v>
      </c>
      <c r="G31" s="10">
        <v>3200</v>
      </c>
      <c r="H31" s="12">
        <v>0.1</v>
      </c>
      <c r="I31" s="10">
        <v>17280</v>
      </c>
      <c r="J31" s="10">
        <v>7433.12408860007</v>
      </c>
    </row>
    <row r="32" spans="1:10">
      <c r="A32">
        <v>1031</v>
      </c>
      <c r="B32" s="11">
        <v>46077.5454545454</v>
      </c>
      <c r="C32" t="s">
        <v>17</v>
      </c>
      <c r="D32" t="s">
        <v>18</v>
      </c>
      <c r="E32" t="s">
        <v>24</v>
      </c>
      <c r="F32">
        <v>9</v>
      </c>
      <c r="G32" s="10">
        <v>2500</v>
      </c>
      <c r="H32" s="12">
        <v>0.15</v>
      </c>
      <c r="I32" s="10">
        <v>19125</v>
      </c>
      <c r="J32" s="10">
        <v>8303.32597057563</v>
      </c>
    </row>
    <row r="33" spans="1:10">
      <c r="A33">
        <v>1032</v>
      </c>
      <c r="B33" s="11">
        <v>46079.3636363636</v>
      </c>
      <c r="C33" t="s">
        <v>22</v>
      </c>
      <c r="D33" t="s">
        <v>23</v>
      </c>
      <c r="E33" t="s">
        <v>25</v>
      </c>
      <c r="F33">
        <v>9</v>
      </c>
      <c r="G33" s="10">
        <v>4500</v>
      </c>
      <c r="H33" s="12">
        <v>0.05</v>
      </c>
      <c r="I33" s="10">
        <v>38475</v>
      </c>
      <c r="J33" s="10">
        <v>16402.8235624339</v>
      </c>
    </row>
    <row r="34" spans="1:10">
      <c r="A34">
        <v>1033</v>
      </c>
      <c r="B34" s="11">
        <v>46081.1818181818</v>
      </c>
      <c r="C34" t="s">
        <v>22</v>
      </c>
      <c r="D34" t="s">
        <v>23</v>
      </c>
      <c r="E34" t="s">
        <v>28</v>
      </c>
      <c r="F34">
        <v>5</v>
      </c>
      <c r="G34" s="10">
        <v>4500</v>
      </c>
      <c r="H34" s="12">
        <v>0.05</v>
      </c>
      <c r="I34" s="10">
        <v>21375</v>
      </c>
      <c r="J34" s="10">
        <v>6420.56077854877</v>
      </c>
    </row>
    <row r="35" spans="1:10">
      <c r="A35">
        <v>1034</v>
      </c>
      <c r="B35" s="11">
        <v>46083</v>
      </c>
      <c r="C35" t="s">
        <v>20</v>
      </c>
      <c r="D35" t="s">
        <v>18</v>
      </c>
      <c r="E35" t="s">
        <v>24</v>
      </c>
      <c r="F35">
        <v>6</v>
      </c>
      <c r="G35" s="10">
        <v>1800</v>
      </c>
      <c r="H35" s="12">
        <v>0.05</v>
      </c>
      <c r="I35" s="10">
        <v>10260</v>
      </c>
      <c r="J35" s="10">
        <v>3577.17104955943</v>
      </c>
    </row>
    <row r="36" spans="1:10">
      <c r="A36">
        <v>1035</v>
      </c>
      <c r="B36" s="11">
        <v>46084.8181818182</v>
      </c>
      <c r="C36" t="s">
        <v>27</v>
      </c>
      <c r="D36" t="s">
        <v>23</v>
      </c>
      <c r="E36" t="s">
        <v>25</v>
      </c>
      <c r="F36">
        <v>4</v>
      </c>
      <c r="G36" s="10">
        <v>3500</v>
      </c>
      <c r="H36" s="12">
        <v>0.1</v>
      </c>
      <c r="I36" s="10">
        <v>12600</v>
      </c>
      <c r="J36" s="10">
        <v>5019.48375242283</v>
      </c>
    </row>
    <row r="37" spans="1:10">
      <c r="A37">
        <v>1036</v>
      </c>
      <c r="B37" s="11">
        <v>46086.6363636364</v>
      </c>
      <c r="C37" t="s">
        <v>22</v>
      </c>
      <c r="D37" t="s">
        <v>23</v>
      </c>
      <c r="E37" t="s">
        <v>25</v>
      </c>
      <c r="F37">
        <v>5</v>
      </c>
      <c r="G37" s="10">
        <v>4500</v>
      </c>
      <c r="H37" s="12">
        <v>0.05</v>
      </c>
      <c r="I37" s="10">
        <v>21375</v>
      </c>
      <c r="J37" s="10">
        <v>9610.53948754659</v>
      </c>
    </row>
    <row r="38" spans="1:10">
      <c r="A38">
        <v>1037</v>
      </c>
      <c r="B38" s="11">
        <v>46088.4545454545</v>
      </c>
      <c r="C38" t="s">
        <v>22</v>
      </c>
      <c r="D38" t="s">
        <v>23</v>
      </c>
      <c r="E38" t="s">
        <v>21</v>
      </c>
      <c r="F38">
        <v>2</v>
      </c>
      <c r="G38" s="10">
        <v>4500</v>
      </c>
      <c r="H38" s="12">
        <v>0.1</v>
      </c>
      <c r="I38" s="10">
        <v>8100</v>
      </c>
      <c r="J38" s="10">
        <v>2833.9979673392</v>
      </c>
    </row>
    <row r="39" spans="1:10">
      <c r="A39">
        <v>1038</v>
      </c>
      <c r="B39" s="11">
        <v>46090.2727272727</v>
      </c>
      <c r="C39" t="s">
        <v>22</v>
      </c>
      <c r="D39" t="s">
        <v>23</v>
      </c>
      <c r="E39" t="s">
        <v>21</v>
      </c>
      <c r="F39">
        <v>1</v>
      </c>
      <c r="G39" s="10">
        <v>4500</v>
      </c>
      <c r="H39" s="12">
        <v>0.15</v>
      </c>
      <c r="I39" s="10">
        <v>3825</v>
      </c>
      <c r="J39" s="10">
        <v>1513.62871987349</v>
      </c>
    </row>
    <row r="40" spans="1:10">
      <c r="A40">
        <v>1039</v>
      </c>
      <c r="B40" s="11">
        <v>46092.0909090909</v>
      </c>
      <c r="C40" t="s">
        <v>17</v>
      </c>
      <c r="D40" t="s">
        <v>18</v>
      </c>
      <c r="E40" t="s">
        <v>28</v>
      </c>
      <c r="F40">
        <v>10</v>
      </c>
      <c r="G40" s="10">
        <v>2500</v>
      </c>
      <c r="H40" s="12">
        <v>0.1</v>
      </c>
      <c r="I40" s="10">
        <v>22500</v>
      </c>
      <c r="J40" s="10">
        <v>7225.86141353149</v>
      </c>
    </row>
    <row r="41" spans="1:10">
      <c r="A41">
        <v>1040</v>
      </c>
      <c r="B41" s="11">
        <v>46093.9090909091</v>
      </c>
      <c r="C41" t="s">
        <v>20</v>
      </c>
      <c r="D41" t="s">
        <v>18</v>
      </c>
      <c r="E41" t="s">
        <v>21</v>
      </c>
      <c r="F41">
        <v>8</v>
      </c>
      <c r="G41" s="10">
        <v>1800</v>
      </c>
      <c r="H41" s="12">
        <v>0.15</v>
      </c>
      <c r="I41" s="10">
        <v>12240</v>
      </c>
      <c r="J41" s="10">
        <v>3931.08639956767</v>
      </c>
    </row>
    <row r="42" spans="1:10">
      <c r="A42">
        <v>1041</v>
      </c>
      <c r="B42" s="11">
        <v>46095.7272727273</v>
      </c>
      <c r="C42" t="s">
        <v>17</v>
      </c>
      <c r="D42" t="s">
        <v>18</v>
      </c>
      <c r="E42" t="s">
        <v>24</v>
      </c>
      <c r="F42">
        <v>2</v>
      </c>
      <c r="G42" s="10">
        <v>2500</v>
      </c>
      <c r="H42" s="12">
        <v>0.1</v>
      </c>
      <c r="I42" s="10">
        <v>4500</v>
      </c>
      <c r="J42" s="10">
        <v>1565.10069847008</v>
      </c>
    </row>
    <row r="43" spans="1:10">
      <c r="A43">
        <v>1042</v>
      </c>
      <c r="B43" s="11">
        <v>46097.5454545454</v>
      </c>
      <c r="C43" t="s">
        <v>22</v>
      </c>
      <c r="D43" t="s">
        <v>23</v>
      </c>
      <c r="E43" t="s">
        <v>28</v>
      </c>
      <c r="F43">
        <v>6</v>
      </c>
      <c r="G43" s="10">
        <v>4500</v>
      </c>
      <c r="H43" s="12">
        <v>0.05</v>
      </c>
      <c r="I43" s="10">
        <v>25650</v>
      </c>
      <c r="J43" s="10">
        <v>10924.8735683902</v>
      </c>
    </row>
    <row r="44" spans="1:10">
      <c r="A44">
        <v>1043</v>
      </c>
      <c r="B44" s="11">
        <v>46099.3636363636</v>
      </c>
      <c r="C44" t="s">
        <v>20</v>
      </c>
      <c r="D44" t="s">
        <v>18</v>
      </c>
      <c r="E44" t="s">
        <v>25</v>
      </c>
      <c r="F44">
        <v>4</v>
      </c>
      <c r="G44" s="10">
        <v>1800</v>
      </c>
      <c r="H44" s="12">
        <v>0.15</v>
      </c>
      <c r="I44" s="10">
        <v>6120</v>
      </c>
      <c r="J44" s="10">
        <v>2453.47997354851</v>
      </c>
    </row>
    <row r="45" spans="1:10">
      <c r="A45">
        <v>1044</v>
      </c>
      <c r="B45" s="11">
        <v>46101.1818181818</v>
      </c>
      <c r="C45" t="s">
        <v>17</v>
      </c>
      <c r="D45" t="s">
        <v>18</v>
      </c>
      <c r="E45" t="s">
        <v>19</v>
      </c>
      <c r="F45">
        <v>7</v>
      </c>
      <c r="G45" s="10">
        <v>2500</v>
      </c>
      <c r="H45" s="12">
        <v>0.05</v>
      </c>
      <c r="I45" s="10">
        <v>16625</v>
      </c>
      <c r="J45" s="10">
        <v>6607.76278231209</v>
      </c>
    </row>
    <row r="46" spans="1:10">
      <c r="A46">
        <v>1045</v>
      </c>
      <c r="B46" s="11">
        <v>46103</v>
      </c>
      <c r="C46" t="s">
        <v>22</v>
      </c>
      <c r="D46" t="s">
        <v>23</v>
      </c>
      <c r="E46" t="s">
        <v>19</v>
      </c>
      <c r="F46">
        <v>9</v>
      </c>
      <c r="G46" s="10">
        <v>4500</v>
      </c>
      <c r="H46" s="12">
        <v>0.05</v>
      </c>
      <c r="I46" s="10">
        <v>38475</v>
      </c>
      <c r="J46" s="10">
        <v>12140.4852033402</v>
      </c>
    </row>
    <row r="47" spans="1:10">
      <c r="A47">
        <v>1046</v>
      </c>
      <c r="B47" s="11">
        <v>46104.8181818182</v>
      </c>
      <c r="C47" t="s">
        <v>20</v>
      </c>
      <c r="D47" t="s">
        <v>18</v>
      </c>
      <c r="E47" t="s">
        <v>28</v>
      </c>
      <c r="F47">
        <v>7</v>
      </c>
      <c r="G47" s="10">
        <v>1800</v>
      </c>
      <c r="H47" s="12">
        <v>0.1</v>
      </c>
      <c r="I47" s="10">
        <v>11340</v>
      </c>
      <c r="J47" s="10">
        <v>5068.62413227049</v>
      </c>
    </row>
    <row r="48" spans="1:10">
      <c r="A48">
        <v>1047</v>
      </c>
      <c r="B48" s="11">
        <v>46106.6363636364</v>
      </c>
      <c r="C48" t="s">
        <v>17</v>
      </c>
      <c r="D48" t="s">
        <v>18</v>
      </c>
      <c r="E48" t="s">
        <v>28</v>
      </c>
      <c r="F48">
        <v>1</v>
      </c>
      <c r="G48" s="10">
        <v>2500</v>
      </c>
      <c r="H48" s="12">
        <v>0.1</v>
      </c>
      <c r="I48" s="10">
        <v>2250</v>
      </c>
      <c r="J48" s="10">
        <v>1011.06704015741</v>
      </c>
    </row>
    <row r="49" spans="1:10">
      <c r="A49">
        <v>1048</v>
      </c>
      <c r="B49" s="11">
        <v>46108.4545454545</v>
      </c>
      <c r="C49" t="s">
        <v>26</v>
      </c>
      <c r="D49" t="s">
        <v>18</v>
      </c>
      <c r="E49" t="s">
        <v>24</v>
      </c>
      <c r="F49">
        <v>5</v>
      </c>
      <c r="G49" s="10">
        <v>3200</v>
      </c>
      <c r="H49" s="12">
        <v>0.15</v>
      </c>
      <c r="I49" s="10">
        <v>13600</v>
      </c>
      <c r="J49" s="10">
        <v>4244.29083448527</v>
      </c>
    </row>
    <row r="50" spans="1:10">
      <c r="A50">
        <v>1049</v>
      </c>
      <c r="B50" s="11">
        <v>46110.2727272727</v>
      </c>
      <c r="C50" t="s">
        <v>20</v>
      </c>
      <c r="D50" t="s">
        <v>18</v>
      </c>
      <c r="E50" t="s">
        <v>24</v>
      </c>
      <c r="F50">
        <v>3</v>
      </c>
      <c r="G50" s="10">
        <v>1800</v>
      </c>
      <c r="H50" s="12">
        <v>0.15</v>
      </c>
      <c r="I50" s="10">
        <v>4590</v>
      </c>
      <c r="J50" s="10">
        <v>1953.38984495248</v>
      </c>
    </row>
    <row r="51" spans="1:10">
      <c r="A51">
        <v>1050</v>
      </c>
      <c r="B51" s="11">
        <v>46112.0909090909</v>
      </c>
      <c r="C51" t="s">
        <v>17</v>
      </c>
      <c r="D51" t="s">
        <v>18</v>
      </c>
      <c r="E51" t="s">
        <v>25</v>
      </c>
      <c r="F51">
        <v>1</v>
      </c>
      <c r="G51" s="10">
        <v>2500</v>
      </c>
      <c r="H51" s="12">
        <v>0.1</v>
      </c>
      <c r="I51" s="10">
        <v>2250</v>
      </c>
      <c r="J51" s="10">
        <v>885.888007428193</v>
      </c>
    </row>
    <row r="52" spans="1:10">
      <c r="A52">
        <v>1051</v>
      </c>
      <c r="B52" s="11">
        <v>46113.9090909091</v>
      </c>
      <c r="C52" t="s">
        <v>29</v>
      </c>
      <c r="D52" t="s">
        <v>30</v>
      </c>
      <c r="E52" t="s">
        <v>19</v>
      </c>
      <c r="F52">
        <v>9</v>
      </c>
      <c r="G52" s="10">
        <v>2200</v>
      </c>
      <c r="H52" s="12">
        <v>0.15</v>
      </c>
      <c r="I52" s="10">
        <v>16830</v>
      </c>
      <c r="J52" s="10">
        <v>7498.14960334064</v>
      </c>
    </row>
    <row r="53" spans="1:10">
      <c r="A53">
        <v>1052</v>
      </c>
      <c r="B53" s="11">
        <v>46115.7272727273</v>
      </c>
      <c r="C53" t="s">
        <v>29</v>
      </c>
      <c r="D53" t="s">
        <v>30</v>
      </c>
      <c r="E53" t="s">
        <v>21</v>
      </c>
      <c r="F53">
        <v>2</v>
      </c>
      <c r="G53" s="10">
        <v>2200</v>
      </c>
      <c r="H53" s="12">
        <v>0.1</v>
      </c>
      <c r="I53" s="10">
        <v>3960</v>
      </c>
      <c r="J53" s="10">
        <v>1574.58384708672</v>
      </c>
    </row>
    <row r="54" spans="1:10">
      <c r="A54">
        <v>1053</v>
      </c>
      <c r="B54" s="11">
        <v>46117.5454545454</v>
      </c>
      <c r="C54" t="s">
        <v>22</v>
      </c>
      <c r="D54" t="s">
        <v>23</v>
      </c>
      <c r="E54" t="s">
        <v>21</v>
      </c>
      <c r="F54">
        <v>4</v>
      </c>
      <c r="G54" s="10">
        <v>4500</v>
      </c>
      <c r="H54" s="12">
        <v>0.05</v>
      </c>
      <c r="I54" s="10">
        <v>17100</v>
      </c>
      <c r="J54" s="10">
        <v>4840.54508203032</v>
      </c>
    </row>
    <row r="55" spans="1:10">
      <c r="A55">
        <v>1054</v>
      </c>
      <c r="B55" s="11">
        <v>46119.3636363636</v>
      </c>
      <c r="C55" t="s">
        <v>17</v>
      </c>
      <c r="D55" t="s">
        <v>18</v>
      </c>
      <c r="E55" t="s">
        <v>24</v>
      </c>
      <c r="F55">
        <v>8</v>
      </c>
      <c r="G55" s="10">
        <v>2500</v>
      </c>
      <c r="H55" s="12">
        <v>0.15</v>
      </c>
      <c r="I55" s="10">
        <v>17000</v>
      </c>
      <c r="J55" s="10">
        <v>6843.51638108865</v>
      </c>
    </row>
    <row r="56" spans="1:10">
      <c r="A56">
        <v>1055</v>
      </c>
      <c r="B56" s="11">
        <v>46121.1818181818</v>
      </c>
      <c r="C56" t="s">
        <v>17</v>
      </c>
      <c r="D56" t="s">
        <v>18</v>
      </c>
      <c r="E56" t="s">
        <v>21</v>
      </c>
      <c r="F56">
        <v>3</v>
      </c>
      <c r="G56" s="10">
        <v>2500</v>
      </c>
      <c r="H56" s="12">
        <v>0.1</v>
      </c>
      <c r="I56" s="10">
        <v>6750</v>
      </c>
      <c r="J56" s="10">
        <v>2194.31971691478</v>
      </c>
    </row>
    <row r="57" spans="1:10">
      <c r="A57">
        <v>1056</v>
      </c>
      <c r="B57" s="11">
        <v>46123</v>
      </c>
      <c r="C57" t="s">
        <v>20</v>
      </c>
      <c r="D57" t="s">
        <v>18</v>
      </c>
      <c r="E57" t="s">
        <v>21</v>
      </c>
      <c r="F57">
        <v>6</v>
      </c>
      <c r="G57" s="10">
        <v>1800</v>
      </c>
      <c r="H57" s="12">
        <v>0.15</v>
      </c>
      <c r="I57" s="10">
        <v>9180</v>
      </c>
      <c r="J57" s="10">
        <v>3248.31584681557</v>
      </c>
    </row>
    <row r="58" spans="1:10">
      <c r="A58">
        <v>1057</v>
      </c>
      <c r="B58" s="11">
        <v>46124.8181818182</v>
      </c>
      <c r="C58" t="s">
        <v>29</v>
      </c>
      <c r="D58" t="s">
        <v>30</v>
      </c>
      <c r="E58" t="s">
        <v>21</v>
      </c>
      <c r="F58">
        <v>1</v>
      </c>
      <c r="G58" s="10">
        <v>2200</v>
      </c>
      <c r="H58" s="12">
        <v>0.15</v>
      </c>
      <c r="I58" s="10">
        <v>1870</v>
      </c>
      <c r="J58" s="10">
        <v>680.171374865017</v>
      </c>
    </row>
    <row r="59" spans="1:10">
      <c r="A59">
        <v>1058</v>
      </c>
      <c r="B59" s="11">
        <v>46126.6363636364</v>
      </c>
      <c r="C59" t="s">
        <v>17</v>
      </c>
      <c r="D59" t="s">
        <v>18</v>
      </c>
      <c r="E59" t="s">
        <v>24</v>
      </c>
      <c r="F59">
        <v>3</v>
      </c>
      <c r="G59" s="10">
        <v>2500</v>
      </c>
      <c r="H59" s="12">
        <v>0.15</v>
      </c>
      <c r="I59" s="10">
        <v>6375</v>
      </c>
      <c r="J59" s="10">
        <v>2617.92041300446</v>
      </c>
    </row>
    <row r="60" spans="1:10">
      <c r="A60">
        <v>1059</v>
      </c>
      <c r="B60" s="11">
        <v>46128.4545454545</v>
      </c>
      <c r="C60" t="s">
        <v>17</v>
      </c>
      <c r="D60" t="s">
        <v>18</v>
      </c>
      <c r="E60" t="s">
        <v>24</v>
      </c>
      <c r="F60">
        <v>5</v>
      </c>
      <c r="G60" s="10">
        <v>2500</v>
      </c>
      <c r="H60" s="12">
        <v>0.1</v>
      </c>
      <c r="I60" s="10">
        <v>11250</v>
      </c>
      <c r="J60" s="10">
        <v>3857.92851423854</v>
      </c>
    </row>
    <row r="61" spans="1:10">
      <c r="A61">
        <v>1060</v>
      </c>
      <c r="B61" s="11">
        <v>46130.2727272727</v>
      </c>
      <c r="C61" t="s">
        <v>26</v>
      </c>
      <c r="D61" t="s">
        <v>18</v>
      </c>
      <c r="E61" t="s">
        <v>21</v>
      </c>
      <c r="F61">
        <v>8</v>
      </c>
      <c r="G61" s="10">
        <v>3200</v>
      </c>
      <c r="H61" s="12">
        <v>0.05</v>
      </c>
      <c r="I61" s="10">
        <v>24320</v>
      </c>
      <c r="J61" s="10">
        <v>8579.88454280311</v>
      </c>
    </row>
    <row r="62" spans="1:10">
      <c r="A62">
        <v>1061</v>
      </c>
      <c r="B62" s="11">
        <v>46132.0909090909</v>
      </c>
      <c r="C62" t="s">
        <v>20</v>
      </c>
      <c r="D62" t="s">
        <v>18</v>
      </c>
      <c r="E62" t="s">
        <v>24</v>
      </c>
      <c r="F62">
        <v>1</v>
      </c>
      <c r="G62" s="10">
        <v>1800</v>
      </c>
      <c r="H62" s="12">
        <v>0.15</v>
      </c>
      <c r="I62" s="10">
        <v>1530</v>
      </c>
      <c r="J62" s="10">
        <v>507.911794716596</v>
      </c>
    </row>
    <row r="63" spans="1:10">
      <c r="A63">
        <v>1062</v>
      </c>
      <c r="B63" s="11">
        <v>46133.9090909091</v>
      </c>
      <c r="C63" t="s">
        <v>20</v>
      </c>
      <c r="D63" t="s">
        <v>18</v>
      </c>
      <c r="E63" t="s">
        <v>19</v>
      </c>
      <c r="F63">
        <v>2</v>
      </c>
      <c r="G63" s="10">
        <v>1800</v>
      </c>
      <c r="H63" s="12">
        <v>0.05</v>
      </c>
      <c r="I63" s="10">
        <v>3420</v>
      </c>
      <c r="J63" s="10">
        <v>1187.07361880303</v>
      </c>
    </row>
    <row r="64" spans="1:10">
      <c r="A64">
        <v>1063</v>
      </c>
      <c r="B64" s="11">
        <v>46135.7272727273</v>
      </c>
      <c r="C64" t="s">
        <v>20</v>
      </c>
      <c r="D64" t="s">
        <v>18</v>
      </c>
      <c r="E64" t="s">
        <v>19</v>
      </c>
      <c r="F64">
        <v>8</v>
      </c>
      <c r="G64" s="10">
        <v>1800</v>
      </c>
      <c r="H64" s="12">
        <v>0.1</v>
      </c>
      <c r="I64" s="10">
        <v>12960</v>
      </c>
      <c r="J64" s="10">
        <v>3842.89925107576</v>
      </c>
    </row>
    <row r="65" spans="1:10">
      <c r="A65">
        <v>1064</v>
      </c>
      <c r="B65" s="11">
        <v>46137.5454545454</v>
      </c>
      <c r="C65" t="s">
        <v>20</v>
      </c>
      <c r="D65" t="s">
        <v>18</v>
      </c>
      <c r="E65" t="s">
        <v>24</v>
      </c>
      <c r="F65">
        <v>10</v>
      </c>
      <c r="G65" s="10">
        <v>1800</v>
      </c>
      <c r="H65" s="12">
        <v>0.1</v>
      </c>
      <c r="I65" s="10">
        <v>16200</v>
      </c>
      <c r="J65" s="10">
        <v>5424.30480471311</v>
      </c>
    </row>
    <row r="66" spans="1:10">
      <c r="A66">
        <v>1065</v>
      </c>
      <c r="B66" s="11">
        <v>46139.3636363636</v>
      </c>
      <c r="C66" t="s">
        <v>22</v>
      </c>
      <c r="D66" t="s">
        <v>23</v>
      </c>
      <c r="E66" t="s">
        <v>19</v>
      </c>
      <c r="F66">
        <v>6</v>
      </c>
      <c r="G66" s="10">
        <v>4500</v>
      </c>
      <c r="H66" s="12">
        <v>0.15</v>
      </c>
      <c r="I66" s="10">
        <v>22950</v>
      </c>
      <c r="J66" s="10">
        <v>7571.44858039792</v>
      </c>
    </row>
    <row r="67" spans="1:10">
      <c r="A67">
        <v>1066</v>
      </c>
      <c r="B67" s="11">
        <v>46141.1818181818</v>
      </c>
      <c r="C67" t="s">
        <v>20</v>
      </c>
      <c r="D67" t="s">
        <v>18</v>
      </c>
      <c r="E67" t="s">
        <v>28</v>
      </c>
      <c r="F67">
        <v>2</v>
      </c>
      <c r="G67" s="10">
        <v>1800</v>
      </c>
      <c r="H67" s="12">
        <v>0.05</v>
      </c>
      <c r="I67" s="10">
        <v>3420</v>
      </c>
      <c r="J67" s="10">
        <v>1313.13407149731</v>
      </c>
    </row>
    <row r="68" spans="1:10">
      <c r="A68">
        <v>1067</v>
      </c>
      <c r="B68" s="11">
        <v>46143</v>
      </c>
      <c r="C68" t="s">
        <v>27</v>
      </c>
      <c r="D68" t="s">
        <v>23</v>
      </c>
      <c r="E68" t="s">
        <v>28</v>
      </c>
      <c r="F68">
        <v>7</v>
      </c>
      <c r="G68" s="10">
        <v>3500</v>
      </c>
      <c r="H68" s="12">
        <v>0.05</v>
      </c>
      <c r="I68" s="10">
        <v>23275</v>
      </c>
      <c r="J68" s="10">
        <v>9001.42122634802</v>
      </c>
    </row>
    <row r="69" spans="1:10">
      <c r="A69">
        <v>1068</v>
      </c>
      <c r="B69" s="11">
        <v>46144.8181818182</v>
      </c>
      <c r="C69" t="s">
        <v>22</v>
      </c>
      <c r="D69" t="s">
        <v>23</v>
      </c>
      <c r="E69" t="s">
        <v>28</v>
      </c>
      <c r="F69">
        <v>8</v>
      </c>
      <c r="G69" s="10">
        <v>4500</v>
      </c>
      <c r="H69" s="12">
        <v>0.1</v>
      </c>
      <c r="I69" s="10">
        <v>32400</v>
      </c>
      <c r="J69" s="10">
        <v>13455.226023254</v>
      </c>
    </row>
    <row r="70" spans="1:10">
      <c r="A70">
        <v>1069</v>
      </c>
      <c r="B70" s="11">
        <v>46146.6363636364</v>
      </c>
      <c r="C70" t="s">
        <v>20</v>
      </c>
      <c r="D70" t="s">
        <v>18</v>
      </c>
      <c r="E70" t="s">
        <v>19</v>
      </c>
      <c r="F70">
        <v>7</v>
      </c>
      <c r="G70" s="10">
        <v>1800</v>
      </c>
      <c r="H70" s="12">
        <v>0.15</v>
      </c>
      <c r="I70" s="10">
        <v>10710</v>
      </c>
      <c r="J70" s="10">
        <v>3682.62388187155</v>
      </c>
    </row>
    <row r="71" spans="1:10">
      <c r="A71">
        <v>1070</v>
      </c>
      <c r="B71" s="11">
        <v>46148.4545454545</v>
      </c>
      <c r="C71" t="s">
        <v>29</v>
      </c>
      <c r="D71" t="s">
        <v>30</v>
      </c>
      <c r="E71" t="s">
        <v>21</v>
      </c>
      <c r="F71">
        <v>3</v>
      </c>
      <c r="G71" s="10">
        <v>2200</v>
      </c>
      <c r="H71" s="12">
        <v>0.05</v>
      </c>
      <c r="I71" s="10">
        <v>6270</v>
      </c>
      <c r="J71" s="10">
        <v>1920.8588592701</v>
      </c>
    </row>
    <row r="72" spans="1:10">
      <c r="A72">
        <v>1071</v>
      </c>
      <c r="B72" s="11">
        <v>46150.2727272727</v>
      </c>
      <c r="C72" t="s">
        <v>29</v>
      </c>
      <c r="D72" t="s">
        <v>30</v>
      </c>
      <c r="E72" t="s">
        <v>28</v>
      </c>
      <c r="F72">
        <v>10</v>
      </c>
      <c r="G72" s="10">
        <v>2200</v>
      </c>
      <c r="H72" s="12">
        <v>0.1</v>
      </c>
      <c r="I72" s="10">
        <v>19800</v>
      </c>
      <c r="J72" s="10">
        <v>5646.66384129484</v>
      </c>
    </row>
    <row r="73" spans="1:10">
      <c r="A73">
        <v>1072</v>
      </c>
      <c r="B73" s="11">
        <v>46152.0909090909</v>
      </c>
      <c r="C73" t="s">
        <v>27</v>
      </c>
      <c r="D73" t="s">
        <v>23</v>
      </c>
      <c r="E73" t="s">
        <v>28</v>
      </c>
      <c r="F73">
        <v>6</v>
      </c>
      <c r="G73" s="10">
        <v>3500</v>
      </c>
      <c r="H73" s="12">
        <v>0.15</v>
      </c>
      <c r="I73" s="10">
        <v>17850</v>
      </c>
      <c r="J73" s="10">
        <v>6090.99850136248</v>
      </c>
    </row>
    <row r="74" spans="1:10">
      <c r="A74">
        <v>1073</v>
      </c>
      <c r="B74" s="11">
        <v>46153.9090909091</v>
      </c>
      <c r="C74" t="s">
        <v>26</v>
      </c>
      <c r="D74" t="s">
        <v>18</v>
      </c>
      <c r="E74" t="s">
        <v>28</v>
      </c>
      <c r="F74">
        <v>1</v>
      </c>
      <c r="G74" s="10">
        <v>3200</v>
      </c>
      <c r="H74" s="12">
        <v>0.05</v>
      </c>
      <c r="I74" s="10">
        <v>3040</v>
      </c>
      <c r="J74" s="10">
        <v>991.533378895643</v>
      </c>
    </row>
    <row r="75" spans="1:10">
      <c r="A75">
        <v>1074</v>
      </c>
      <c r="B75" s="11">
        <v>46155.7272727273</v>
      </c>
      <c r="C75" t="s">
        <v>26</v>
      </c>
      <c r="D75" t="s">
        <v>18</v>
      </c>
      <c r="E75" t="s">
        <v>28</v>
      </c>
      <c r="F75">
        <v>7</v>
      </c>
      <c r="G75" s="10">
        <v>3200</v>
      </c>
      <c r="H75" s="12">
        <v>0.1</v>
      </c>
      <c r="I75" s="10">
        <v>20160</v>
      </c>
      <c r="J75" s="10">
        <v>5821.92359478905</v>
      </c>
    </row>
    <row r="76" spans="1:10">
      <c r="A76">
        <v>1075</v>
      </c>
      <c r="B76" s="11">
        <v>46157.5454545454</v>
      </c>
      <c r="C76" t="s">
        <v>29</v>
      </c>
      <c r="D76" t="s">
        <v>30</v>
      </c>
      <c r="E76" t="s">
        <v>21</v>
      </c>
      <c r="F76">
        <v>3</v>
      </c>
      <c r="G76" s="10">
        <v>2200</v>
      </c>
      <c r="H76" s="12">
        <v>0.15</v>
      </c>
      <c r="I76" s="10">
        <v>5610</v>
      </c>
      <c r="J76" s="10">
        <v>1702.74734423886</v>
      </c>
    </row>
    <row r="77" spans="1:10">
      <c r="A77">
        <v>1076</v>
      </c>
      <c r="B77" s="11">
        <v>46159.3636363636</v>
      </c>
      <c r="C77" t="s">
        <v>27</v>
      </c>
      <c r="D77" t="s">
        <v>23</v>
      </c>
      <c r="E77" t="s">
        <v>25</v>
      </c>
      <c r="F77">
        <v>10</v>
      </c>
      <c r="G77" s="10">
        <v>3500</v>
      </c>
      <c r="H77" s="12">
        <v>0.1</v>
      </c>
      <c r="I77" s="10">
        <v>31500</v>
      </c>
      <c r="J77" s="10">
        <v>9039.91655229198</v>
      </c>
    </row>
    <row r="78" spans="1:10">
      <c r="A78">
        <v>1077</v>
      </c>
      <c r="B78" s="11">
        <v>46161.1818181818</v>
      </c>
      <c r="C78" t="s">
        <v>17</v>
      </c>
      <c r="D78" t="s">
        <v>18</v>
      </c>
      <c r="E78" t="s">
        <v>19</v>
      </c>
      <c r="F78">
        <v>10</v>
      </c>
      <c r="G78" s="10">
        <v>2500</v>
      </c>
      <c r="H78" s="12">
        <v>0.15</v>
      </c>
      <c r="I78" s="10">
        <v>21250</v>
      </c>
      <c r="J78" s="10">
        <v>6856.23365503981</v>
      </c>
    </row>
    <row r="79" spans="1:10">
      <c r="A79">
        <v>1078</v>
      </c>
      <c r="B79" s="11">
        <v>46163</v>
      </c>
      <c r="C79" t="s">
        <v>26</v>
      </c>
      <c r="D79" t="s">
        <v>18</v>
      </c>
      <c r="E79" t="s">
        <v>21</v>
      </c>
      <c r="F79">
        <v>7</v>
      </c>
      <c r="G79" s="10">
        <v>3200</v>
      </c>
      <c r="H79" s="12">
        <v>0.15</v>
      </c>
      <c r="I79" s="10">
        <v>19040</v>
      </c>
      <c r="J79" s="10">
        <v>7583.92931028408</v>
      </c>
    </row>
    <row r="80" spans="1:10">
      <c r="A80">
        <v>1079</v>
      </c>
      <c r="B80" s="11">
        <v>46164.8181818182</v>
      </c>
      <c r="C80" t="s">
        <v>22</v>
      </c>
      <c r="D80" t="s">
        <v>23</v>
      </c>
      <c r="E80" t="s">
        <v>19</v>
      </c>
      <c r="F80">
        <v>10</v>
      </c>
      <c r="G80" s="10">
        <v>4500</v>
      </c>
      <c r="H80" s="12">
        <v>0.1</v>
      </c>
      <c r="I80" s="10">
        <v>40500</v>
      </c>
      <c r="J80" s="10">
        <v>12417.0690387904</v>
      </c>
    </row>
    <row r="81" spans="1:10">
      <c r="A81">
        <v>1080</v>
      </c>
      <c r="B81" s="11">
        <v>46166.6363636364</v>
      </c>
      <c r="C81" t="s">
        <v>29</v>
      </c>
      <c r="D81" t="s">
        <v>30</v>
      </c>
      <c r="E81" t="s">
        <v>21</v>
      </c>
      <c r="F81">
        <v>6</v>
      </c>
      <c r="G81" s="10">
        <v>2200</v>
      </c>
      <c r="H81" s="12">
        <v>0.05</v>
      </c>
      <c r="I81" s="10">
        <v>12540</v>
      </c>
      <c r="J81" s="10">
        <v>4918.60876768686</v>
      </c>
    </row>
    <row r="82" spans="1:10">
      <c r="A82">
        <v>1081</v>
      </c>
      <c r="B82" s="11">
        <v>46168.4545454545</v>
      </c>
      <c r="C82" t="s">
        <v>22</v>
      </c>
      <c r="D82" t="s">
        <v>23</v>
      </c>
      <c r="E82" t="s">
        <v>21</v>
      </c>
      <c r="F82">
        <v>7</v>
      </c>
      <c r="G82" s="10">
        <v>4500</v>
      </c>
      <c r="H82" s="12">
        <v>0.15</v>
      </c>
      <c r="I82" s="10">
        <v>26775</v>
      </c>
      <c r="J82" s="10">
        <v>9480.07411655709</v>
      </c>
    </row>
    <row r="83" spans="1:10">
      <c r="A83">
        <v>1082</v>
      </c>
      <c r="B83" s="11">
        <v>46170.2727272727</v>
      </c>
      <c r="C83" t="s">
        <v>20</v>
      </c>
      <c r="D83" t="s">
        <v>18</v>
      </c>
      <c r="E83" t="s">
        <v>24</v>
      </c>
      <c r="F83">
        <v>10</v>
      </c>
      <c r="G83" s="10">
        <v>1800</v>
      </c>
      <c r="H83" s="12">
        <v>0.15</v>
      </c>
      <c r="I83" s="10">
        <v>15300</v>
      </c>
      <c r="J83" s="10">
        <v>6255.15773331782</v>
      </c>
    </row>
    <row r="84" spans="1:10">
      <c r="A84">
        <v>1083</v>
      </c>
      <c r="B84" s="11">
        <v>46172.0909090909</v>
      </c>
      <c r="C84" t="s">
        <v>26</v>
      </c>
      <c r="D84" t="s">
        <v>18</v>
      </c>
      <c r="E84" t="s">
        <v>28</v>
      </c>
      <c r="F84">
        <v>5</v>
      </c>
      <c r="G84" s="10">
        <v>3200</v>
      </c>
      <c r="H84" s="12">
        <v>0.15</v>
      </c>
      <c r="I84" s="10">
        <v>13600</v>
      </c>
      <c r="J84" s="10">
        <v>3902.16499096146</v>
      </c>
    </row>
    <row r="85" spans="1:10">
      <c r="A85">
        <v>1084</v>
      </c>
      <c r="B85" s="11">
        <v>46173.9090909091</v>
      </c>
      <c r="C85" t="s">
        <v>26</v>
      </c>
      <c r="D85" t="s">
        <v>18</v>
      </c>
      <c r="E85" t="s">
        <v>28</v>
      </c>
      <c r="F85">
        <v>10</v>
      </c>
      <c r="G85" s="10">
        <v>3200</v>
      </c>
      <c r="H85" s="12">
        <v>0.1</v>
      </c>
      <c r="I85" s="10">
        <v>28800</v>
      </c>
      <c r="J85" s="10">
        <v>10470.951324572</v>
      </c>
    </row>
    <row r="86" spans="1:10">
      <c r="A86">
        <v>1085</v>
      </c>
      <c r="B86" s="11">
        <v>46175.7272727273</v>
      </c>
      <c r="C86" t="s">
        <v>22</v>
      </c>
      <c r="D86" t="s">
        <v>23</v>
      </c>
      <c r="E86" t="s">
        <v>21</v>
      </c>
      <c r="F86">
        <v>5</v>
      </c>
      <c r="G86" s="10">
        <v>4500</v>
      </c>
      <c r="H86" s="12">
        <v>0.15</v>
      </c>
      <c r="I86" s="10">
        <v>19125</v>
      </c>
      <c r="J86" s="10">
        <v>5511.25157729561</v>
      </c>
    </row>
    <row r="87" spans="1:10">
      <c r="A87">
        <v>1086</v>
      </c>
      <c r="B87" s="11">
        <v>46177.5454545454</v>
      </c>
      <c r="C87" t="s">
        <v>17</v>
      </c>
      <c r="D87" t="s">
        <v>18</v>
      </c>
      <c r="E87" t="s">
        <v>25</v>
      </c>
      <c r="F87">
        <v>2</v>
      </c>
      <c r="G87" s="10">
        <v>2500</v>
      </c>
      <c r="H87" s="12">
        <v>0.15</v>
      </c>
      <c r="I87" s="10">
        <v>4250</v>
      </c>
      <c r="J87" s="10">
        <v>1201.0575303598</v>
      </c>
    </row>
    <row r="88" spans="1:10">
      <c r="A88">
        <v>1087</v>
      </c>
      <c r="B88" s="11">
        <v>46179.3636363636</v>
      </c>
      <c r="C88" t="s">
        <v>27</v>
      </c>
      <c r="D88" t="s">
        <v>23</v>
      </c>
      <c r="E88" t="s">
        <v>19</v>
      </c>
      <c r="F88">
        <v>1</v>
      </c>
      <c r="G88" s="10">
        <v>3500</v>
      </c>
      <c r="H88" s="12">
        <v>0.05</v>
      </c>
      <c r="I88" s="10">
        <v>3325</v>
      </c>
      <c r="J88" s="10">
        <v>1317.6105206523</v>
      </c>
    </row>
    <row r="89" spans="1:10">
      <c r="A89">
        <v>1088</v>
      </c>
      <c r="B89" s="11">
        <v>46181.1818181818</v>
      </c>
      <c r="C89" t="s">
        <v>22</v>
      </c>
      <c r="D89" t="s">
        <v>23</v>
      </c>
      <c r="E89" t="s">
        <v>24</v>
      </c>
      <c r="F89">
        <v>4</v>
      </c>
      <c r="G89" s="10">
        <v>4500</v>
      </c>
      <c r="H89" s="12">
        <v>0.1</v>
      </c>
      <c r="I89" s="10">
        <v>16200</v>
      </c>
      <c r="J89" s="10">
        <v>6115.05283276451</v>
      </c>
    </row>
    <row r="90" spans="1:10">
      <c r="A90">
        <v>1089</v>
      </c>
      <c r="B90" s="11">
        <v>46183</v>
      </c>
      <c r="C90" t="s">
        <v>22</v>
      </c>
      <c r="D90" t="s">
        <v>23</v>
      </c>
      <c r="E90" t="s">
        <v>25</v>
      </c>
      <c r="F90">
        <v>3</v>
      </c>
      <c r="G90" s="10">
        <v>4500</v>
      </c>
      <c r="H90" s="12">
        <v>0.15</v>
      </c>
      <c r="I90" s="10">
        <v>11475</v>
      </c>
      <c r="J90" s="10">
        <v>5049.56247572081</v>
      </c>
    </row>
    <row r="91" spans="1:10">
      <c r="A91">
        <v>1090</v>
      </c>
      <c r="B91" s="11">
        <v>46184.8181818182</v>
      </c>
      <c r="C91" t="s">
        <v>22</v>
      </c>
      <c r="D91" t="s">
        <v>23</v>
      </c>
      <c r="E91" t="s">
        <v>21</v>
      </c>
      <c r="F91">
        <v>1</v>
      </c>
      <c r="G91" s="10">
        <v>4500</v>
      </c>
      <c r="H91" s="12">
        <v>0.1</v>
      </c>
      <c r="I91" s="10">
        <v>4050</v>
      </c>
      <c r="J91" s="10">
        <v>1276.30218177514</v>
      </c>
    </row>
    <row r="92" spans="1:10">
      <c r="A92">
        <v>1091</v>
      </c>
      <c r="B92" s="11">
        <v>46186.6363636364</v>
      </c>
      <c r="C92" t="s">
        <v>26</v>
      </c>
      <c r="D92" t="s">
        <v>18</v>
      </c>
      <c r="E92" t="s">
        <v>25</v>
      </c>
      <c r="F92">
        <v>2</v>
      </c>
      <c r="G92" s="10">
        <v>3200</v>
      </c>
      <c r="H92" s="12">
        <v>0.05</v>
      </c>
      <c r="I92" s="10">
        <v>6080</v>
      </c>
      <c r="J92" s="10">
        <v>1800.01624423733</v>
      </c>
    </row>
    <row r="93" spans="1:10">
      <c r="A93">
        <v>1092</v>
      </c>
      <c r="B93" s="11">
        <v>46188.4545454545</v>
      </c>
      <c r="C93" t="s">
        <v>22</v>
      </c>
      <c r="D93" t="s">
        <v>23</v>
      </c>
      <c r="E93" t="s">
        <v>19</v>
      </c>
      <c r="F93">
        <v>10</v>
      </c>
      <c r="G93" s="10">
        <v>4500</v>
      </c>
      <c r="H93" s="12">
        <v>0.05</v>
      </c>
      <c r="I93" s="10">
        <v>42750</v>
      </c>
      <c r="J93" s="10">
        <v>18110.1313224705</v>
      </c>
    </row>
    <row r="94" spans="1:10">
      <c r="A94">
        <v>1093</v>
      </c>
      <c r="B94" s="11">
        <v>46190.2727272727</v>
      </c>
      <c r="C94" t="s">
        <v>29</v>
      </c>
      <c r="D94" t="s">
        <v>30</v>
      </c>
      <c r="E94" t="s">
        <v>28</v>
      </c>
      <c r="F94">
        <v>2</v>
      </c>
      <c r="G94" s="10">
        <v>2200</v>
      </c>
      <c r="H94" s="12">
        <v>0.15</v>
      </c>
      <c r="I94" s="10">
        <v>3740</v>
      </c>
      <c r="J94" s="10">
        <v>1226.40326580093</v>
      </c>
    </row>
    <row r="95" spans="1:10">
      <c r="A95">
        <v>1094</v>
      </c>
      <c r="B95" s="11">
        <v>46192.0909090909</v>
      </c>
      <c r="C95" t="s">
        <v>27</v>
      </c>
      <c r="D95" t="s">
        <v>23</v>
      </c>
      <c r="E95" t="s">
        <v>21</v>
      </c>
      <c r="F95">
        <v>5</v>
      </c>
      <c r="G95" s="10">
        <v>3500</v>
      </c>
      <c r="H95" s="12">
        <v>0.1</v>
      </c>
      <c r="I95" s="10">
        <v>15750</v>
      </c>
      <c r="J95" s="10">
        <v>6093.99447225314</v>
      </c>
    </row>
    <row r="96" spans="1:10">
      <c r="A96">
        <v>1095</v>
      </c>
      <c r="B96" s="11">
        <v>46193.9090909091</v>
      </c>
      <c r="C96" t="s">
        <v>17</v>
      </c>
      <c r="D96" t="s">
        <v>18</v>
      </c>
      <c r="E96" t="s">
        <v>28</v>
      </c>
      <c r="F96">
        <v>9</v>
      </c>
      <c r="G96" s="10">
        <v>2500</v>
      </c>
      <c r="H96" s="12">
        <v>0.05</v>
      </c>
      <c r="I96" s="10">
        <v>21375</v>
      </c>
      <c r="J96" s="10">
        <v>9500.9458290867</v>
      </c>
    </row>
    <row r="97" spans="1:10">
      <c r="A97">
        <v>1096</v>
      </c>
      <c r="B97" s="11">
        <v>46195.7272727273</v>
      </c>
      <c r="C97" t="s">
        <v>27</v>
      </c>
      <c r="D97" t="s">
        <v>23</v>
      </c>
      <c r="E97" t="s">
        <v>25</v>
      </c>
      <c r="F97">
        <v>5</v>
      </c>
      <c r="G97" s="10">
        <v>3500</v>
      </c>
      <c r="H97" s="12">
        <v>0.05</v>
      </c>
      <c r="I97" s="10">
        <v>16625</v>
      </c>
      <c r="J97" s="10">
        <v>6261.78045194832</v>
      </c>
    </row>
    <row r="98" spans="1:10">
      <c r="A98">
        <v>1097</v>
      </c>
      <c r="B98" s="11">
        <v>46197.5454545454</v>
      </c>
      <c r="C98" t="s">
        <v>22</v>
      </c>
      <c r="D98" t="s">
        <v>23</v>
      </c>
      <c r="E98" t="s">
        <v>21</v>
      </c>
      <c r="F98">
        <v>3</v>
      </c>
      <c r="G98" s="10">
        <v>4500</v>
      </c>
      <c r="H98" s="12">
        <v>0.1</v>
      </c>
      <c r="I98" s="10">
        <v>12150</v>
      </c>
      <c r="J98" s="10">
        <v>3918.40897585586</v>
      </c>
    </row>
    <row r="99" spans="1:10">
      <c r="A99">
        <v>1098</v>
      </c>
      <c r="B99" s="11">
        <v>46199.3636363636</v>
      </c>
      <c r="C99" t="s">
        <v>17</v>
      </c>
      <c r="D99" t="s">
        <v>18</v>
      </c>
      <c r="E99" t="s">
        <v>24</v>
      </c>
      <c r="F99">
        <v>1</v>
      </c>
      <c r="G99" s="10">
        <v>2500</v>
      </c>
      <c r="H99" s="12">
        <v>0.15</v>
      </c>
      <c r="I99" s="10">
        <v>2125</v>
      </c>
      <c r="J99" s="10">
        <v>866.252173239678</v>
      </c>
    </row>
    <row r="100" spans="1:10">
      <c r="A100">
        <v>1099</v>
      </c>
      <c r="B100" s="11">
        <v>46201.1818181818</v>
      </c>
      <c r="C100" t="s">
        <v>20</v>
      </c>
      <c r="D100" t="s">
        <v>18</v>
      </c>
      <c r="E100" t="s">
        <v>28</v>
      </c>
      <c r="F100">
        <v>9</v>
      </c>
      <c r="G100" s="10">
        <v>1800</v>
      </c>
      <c r="H100" s="12">
        <v>0.1</v>
      </c>
      <c r="I100" s="10">
        <v>14580</v>
      </c>
      <c r="J100" s="10">
        <v>6319.46763449597</v>
      </c>
    </row>
    <row r="101" spans="1:10">
      <c r="A101">
        <v>1100</v>
      </c>
      <c r="B101" s="11">
        <v>46203</v>
      </c>
      <c r="C101" t="s">
        <v>22</v>
      </c>
      <c r="D101" t="s">
        <v>23</v>
      </c>
      <c r="E101" t="s">
        <v>24</v>
      </c>
      <c r="F101">
        <v>6</v>
      </c>
      <c r="G101" s="10">
        <v>4500</v>
      </c>
      <c r="H101" s="12">
        <v>0.05</v>
      </c>
      <c r="I101" s="10">
        <v>25650</v>
      </c>
      <c r="J101" s="10">
        <v>11086.9290378577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" defaultRowHeight="14.5" outlineLevelRow="6" outlineLevelCol="7"/>
  <sheetData>
    <row r="1" spans="1:8">
      <c r="A1" t="s">
        <v>31</v>
      </c>
      <c r="B1" t="s">
        <v>15</v>
      </c>
      <c r="D1" t="s">
        <v>9</v>
      </c>
      <c r="E1" t="s">
        <v>15</v>
      </c>
      <c r="G1" t="s">
        <v>11</v>
      </c>
      <c r="H1" t="s">
        <v>15</v>
      </c>
    </row>
    <row r="2" spans="1:8">
      <c r="A2" t="s">
        <v>32</v>
      </c>
      <c r="B2" s="10">
        <v>350015</v>
      </c>
      <c r="D2" t="s">
        <v>22</v>
      </c>
      <c r="E2" s="10">
        <v>675900</v>
      </c>
      <c r="G2" t="s">
        <v>28</v>
      </c>
      <c r="H2" s="10">
        <v>354520</v>
      </c>
    </row>
    <row r="3" spans="1:8">
      <c r="A3" t="s">
        <v>33</v>
      </c>
      <c r="B3" s="10">
        <v>292325</v>
      </c>
      <c r="D3" t="s">
        <v>17</v>
      </c>
      <c r="E3" s="10">
        <v>289500</v>
      </c>
      <c r="G3" t="s">
        <v>19</v>
      </c>
      <c r="H3" s="10">
        <v>352650</v>
      </c>
    </row>
    <row r="4" spans="1:8">
      <c r="A4" t="s">
        <v>34</v>
      </c>
      <c r="B4" s="10">
        <v>216300</v>
      </c>
      <c r="D4" t="s">
        <v>26</v>
      </c>
      <c r="E4" s="10">
        <v>254560</v>
      </c>
      <c r="G4" t="s">
        <v>24</v>
      </c>
      <c r="H4" s="10">
        <v>322400</v>
      </c>
    </row>
    <row r="5" spans="1:8">
      <c r="A5" t="s">
        <v>35</v>
      </c>
      <c r="B5" s="10">
        <v>175115</v>
      </c>
      <c r="D5" t="s">
        <v>20</v>
      </c>
      <c r="E5" s="10">
        <v>178020</v>
      </c>
      <c r="G5" t="s">
        <v>25</v>
      </c>
      <c r="H5" s="10">
        <v>290615</v>
      </c>
    </row>
    <row r="6" spans="1:8">
      <c r="A6" t="s">
        <v>36</v>
      </c>
      <c r="B6" s="10">
        <v>348420</v>
      </c>
      <c r="D6" t="s">
        <v>27</v>
      </c>
      <c r="E6" s="10">
        <v>132825</v>
      </c>
      <c r="G6" t="s">
        <v>21</v>
      </c>
      <c r="H6" s="10">
        <v>281240</v>
      </c>
    </row>
    <row r="7" spans="1:8">
      <c r="A7" t="s">
        <v>37</v>
      </c>
      <c r="B7" s="10">
        <v>219250</v>
      </c>
      <c r="D7" t="s">
        <v>29</v>
      </c>
      <c r="E7" s="10">
        <v>70620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showGridLines="0" tabSelected="1" zoomScale="92" zoomScaleNormal="92" workbookViewId="0">
      <selection activeCell="M6" sqref="M6"/>
    </sheetView>
  </sheetViews>
  <sheetFormatPr defaultColWidth="9" defaultRowHeight="14.5"/>
  <sheetData>
    <row r="1" spans="1:10">
      <c r="A1" s="1" t="s">
        <v>38</v>
      </c>
    </row>
    <row r="4" spans="1:10">
      <c r="A4" s="2" t="s">
        <v>39</v>
      </c>
      <c r="D4" s="2" t="s">
        <v>40</v>
      </c>
      <c r="G4" s="2" t="s">
        <v>41</v>
      </c>
      <c r="J4" s="2" t="s">
        <v>42</v>
      </c>
    </row>
    <row r="5" ht="21" spans="1:10">
      <c r="A5" s="3">
        <f>SUM('Sales Data'!I2:I101)</f>
        <v>1601425</v>
      </c>
      <c r="D5" s="3">
        <f>SUM('Sales Data'!J2:J101)</f>
        <v>582448.155787676</v>
      </c>
      <c r="G5" s="4">
        <f>COUNTA('Sales Data'!A2:A101)</f>
        <v>100</v>
      </c>
      <c r="J5" s="4">
        <f>SUM('Sales Data'!F2:F101)</f>
        <v>573</v>
      </c>
    </row>
    <row r="24" spans="7:8">
      <c r="G24" s="5" t="s">
        <v>43</v>
      </c>
    </row>
    <row r="26" spans="7:8">
      <c r="G26" s="6" t="s">
        <v>11</v>
      </c>
      <c r="H26" s="7" t="s">
        <v>44</v>
      </c>
    </row>
    <row r="28" spans="7:8">
      <c r="G28" s="6" t="s">
        <v>10</v>
      </c>
      <c r="H28" s="7" t="s">
        <v>44</v>
      </c>
    </row>
    <row r="30" spans="7:8">
      <c r="G30" s="6" t="s">
        <v>9</v>
      </c>
      <c r="H30" s="7" t="s">
        <v>44</v>
      </c>
    </row>
    <row r="32" spans="7:8">
      <c r="G32" s="6" t="s">
        <v>31</v>
      </c>
      <c r="H32" s="7" t="s">
        <v>44</v>
      </c>
    </row>
    <row r="35" spans="1:7">
      <c r="A35" s="8" t="s">
        <v>45</v>
      </c>
      <c r="G35" s="9" t="s">
        <v>46</v>
      </c>
    </row>
    <row r="36" spans="1:7">
      <c r="A36" t="s">
        <v>47</v>
      </c>
    </row>
    <row r="37" spans="1:7">
      <c r="A37" t="s">
        <v>48</v>
      </c>
    </row>
    <row r="38" spans="1:7">
      <c r="A38" t="s">
        <v>49</v>
      </c>
    </row>
  </sheetData>
  <mergeCells count="15">
    <mergeCell ref="A4:C4"/>
    <mergeCell ref="D4:F4"/>
    <mergeCell ref="G4:I4"/>
    <mergeCell ref="J4:L4"/>
    <mergeCell ref="A5:C5"/>
    <mergeCell ref="D5:F5"/>
    <mergeCell ref="G5:I5"/>
    <mergeCell ref="J5:L5"/>
    <mergeCell ref="G24:L24"/>
    <mergeCell ref="A35:F35"/>
    <mergeCell ref="A36:F36"/>
    <mergeCell ref="A37:F37"/>
    <mergeCell ref="A38:F38"/>
    <mergeCell ref="G35:L37"/>
    <mergeCell ref="A1:L2"/>
  </mergeCells>
  <dataValidations count="4">
    <dataValidation type="list" sqref="H26">
      <formula1>"All,Bangalore,Mumbai,Delhi,Chennai,Hyderabad"</formula1>
    </dataValidation>
    <dataValidation type="list" sqref="H28">
      <formula1>"All,Accessories,Apparel,Footwear"</formula1>
    </dataValidation>
    <dataValidation type="list" sqref="H30">
      <formula1>"All,Running Shoes,Sneakers,T-Shirts,Track Pants,Hoodies,Backpacks"</formula1>
    </dataValidation>
    <dataValidation type="list" sqref="H32">
      <formula1>"All,Jan,Feb,Mar,Apr,May,Jun"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Instructions</vt:lpstr>
      <vt:lpstr>Sales Data</vt:lpstr>
      <vt:lpstr>Summary 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WPS_1780548132</cp:lastModifiedBy>
  <dcterms:created xsi:type="dcterms:W3CDTF">2026-08-26T13:13:00Z</dcterms:created>
  <dcterms:modified xsi:type="dcterms:W3CDTF">2026-09-02T03:20:54Z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6D08793428A341588A1D406DFC847F7E_12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